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iratesgroup-my.sharepoint.com/personal/ahmed_morgan_emirates_com/Documents/Morgan/Downloads/"/>
    </mc:Choice>
  </mc:AlternateContent>
  <xr:revisionPtr revIDLastSave="0" documentId="8_{D17A3C02-67F5-45BE-8F48-AE16E57A5CBC}" xr6:coauthVersionLast="47" xr6:coauthVersionMax="47" xr10:uidLastSave="{00000000-0000-0000-0000-000000000000}"/>
  <bookViews>
    <workbookView xWindow="44415" yWindow="1035" windowWidth="27645" windowHeight="17580" xr2:uid="{E01F7680-A1AA-4C4A-BA3F-EB56FE6979C8}"/>
  </bookViews>
  <sheets>
    <sheet name="Form ratings 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I24" i="1" s="1"/>
  <c r="D25" i="1"/>
  <c r="C24" i="1"/>
  <c r="B24" i="1"/>
  <c r="A24" i="1"/>
  <c r="I23" i="1"/>
  <c r="C23" i="1"/>
  <c r="C25" i="1" s="1"/>
  <c r="B23" i="1"/>
  <c r="B25" i="1" s="1"/>
  <c r="A23" i="1"/>
  <c r="A25" i="1" s="1"/>
  <c r="E19" i="1"/>
  <c r="I18" i="1" s="1"/>
  <c r="D19" i="1"/>
  <c r="C18" i="1"/>
  <c r="B18" i="1"/>
  <c r="A18" i="1"/>
  <c r="C17" i="1"/>
  <c r="B17" i="1" s="1"/>
  <c r="A17" i="1"/>
  <c r="C16" i="1"/>
  <c r="B16" i="1" s="1"/>
  <c r="A16" i="1"/>
  <c r="A19" i="1" s="1"/>
  <c r="J15" i="1" s="1"/>
  <c r="C15" i="1"/>
  <c r="C19" i="1" s="1"/>
  <c r="B15" i="1"/>
  <c r="A15" i="1"/>
  <c r="E11" i="1"/>
  <c r="D11" i="1"/>
  <c r="I10" i="1"/>
  <c r="C10" i="1"/>
  <c r="B10" i="1"/>
  <c r="A10" i="1"/>
  <c r="J10" i="1" s="1"/>
  <c r="I9" i="1"/>
  <c r="C9" i="1"/>
  <c r="B9" i="1" s="1"/>
  <c r="A9" i="1"/>
  <c r="J9" i="1" s="1"/>
  <c r="I8" i="1"/>
  <c r="C8" i="1"/>
  <c r="B8" i="1"/>
  <c r="A8" i="1"/>
  <c r="J8" i="1" s="1"/>
  <c r="I7" i="1"/>
  <c r="C7" i="1"/>
  <c r="B7" i="1" s="1"/>
  <c r="A7" i="1"/>
  <c r="I6" i="1"/>
  <c r="C6" i="1"/>
  <c r="B6" i="1"/>
  <c r="A6" i="1"/>
  <c r="J6" i="1" s="1"/>
  <c r="I5" i="1"/>
  <c r="C5" i="1"/>
  <c r="C11" i="1" s="1"/>
  <c r="B5" i="1"/>
  <c r="B11" i="1" s="1"/>
  <c r="A5" i="1"/>
  <c r="A11" i="1" s="1"/>
  <c r="J7" i="1" s="1"/>
  <c r="J17" i="1" l="1"/>
  <c r="B19" i="1"/>
  <c r="B26" i="1" s="1"/>
  <c r="B27" i="1" s="1"/>
  <c r="J18" i="1"/>
  <c r="A26" i="1"/>
  <c r="J24" i="1"/>
  <c r="J23" i="1"/>
  <c r="I16" i="1"/>
  <c r="J16" i="1"/>
  <c r="J5" i="1"/>
  <c r="I17" i="1"/>
  <c r="I15" i="1"/>
  <c r="B29" i="1" l="1"/>
  <c r="B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tc={9C380665-8AF2-4BC4-AD46-6C4B945AA691}</author>
    <author>tc={ABD65A41-0B3D-4F97-BC30-350D9B9396C4}</author>
  </authors>
  <commentList>
    <comment ref="O8" authorId="0" shapeId="0" xr:uid="{9C380665-8AF2-4BC4-AD46-6C4B945AA6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May change it to ' Time to Recharge' </t>
      </text>
    </comment>
    <comment ref="O21" authorId="1" shapeId="0" xr:uid="{ABD65A41-0B3D-4F97-BC30-350D9B9396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May change it to ' Time to Recharge' </t>
      </text>
    </comment>
  </commentList>
</comments>
</file>

<file path=xl/sharedStrings.xml><?xml version="1.0" encoding="utf-8"?>
<sst xmlns="http://schemas.openxmlformats.org/spreadsheetml/2006/main" count="79" uniqueCount="48">
  <si>
    <t>The Human [Understanding]</t>
  </si>
  <si>
    <t>Rating</t>
  </si>
  <si>
    <t>Actual Weightage % Split</t>
  </si>
  <si>
    <t>Max Score % Split</t>
  </si>
  <si>
    <t>Max Score</t>
  </si>
  <si>
    <t>Earnt Score</t>
  </si>
  <si>
    <t>Weightage</t>
  </si>
  <si>
    <t>Actual Max Score</t>
  </si>
  <si>
    <t>Actual Weightage</t>
  </si>
  <si>
    <t>Criteria</t>
  </si>
  <si>
    <t>New Healthy KPI Range &amp; Outcome</t>
  </si>
  <si>
    <t>Current Rating &amp; Outcome</t>
  </si>
  <si>
    <t>Opening</t>
  </si>
  <si>
    <t>0/1/2</t>
  </si>
  <si>
    <t>Thriving</t>
  </si>
  <si>
    <t>Great Job</t>
  </si>
  <si>
    <t>Empathy</t>
  </si>
  <si>
    <t>Healthy</t>
  </si>
  <si>
    <t>On Track</t>
  </si>
  <si>
    <t>Customer Recognition</t>
  </si>
  <si>
    <t>NA/0/1/2</t>
  </si>
  <si>
    <t>Getting There</t>
  </si>
  <si>
    <t>More Efforts</t>
  </si>
  <si>
    <t>Active Listening</t>
  </si>
  <si>
    <t>Critical</t>
  </si>
  <si>
    <t>Efficient Messaging &amp; Writing Style</t>
  </si>
  <si>
    <t>Closing</t>
  </si>
  <si>
    <t>The Foundation [Knowledgeable]</t>
  </si>
  <si>
    <t>Relevant Information</t>
  </si>
  <si>
    <t>Completeness</t>
  </si>
  <si>
    <t>N/A</t>
  </si>
  <si>
    <t>Transfer Process</t>
  </si>
  <si>
    <t>From</t>
  </si>
  <si>
    <t>To</t>
  </si>
  <si>
    <t>Range Score</t>
  </si>
  <si>
    <t>Reasoning / Ownership</t>
  </si>
  <si>
    <t>Supporting Emirates [Collaborative/Resourceful]</t>
  </si>
  <si>
    <t>Promoting Emirates Features</t>
  </si>
  <si>
    <t>Strategic Sales Opportunities</t>
  </si>
  <si>
    <t>Score</t>
  </si>
  <si>
    <t>Brand Breakers [Non-Negotiables]</t>
  </si>
  <si>
    <t>Current</t>
  </si>
  <si>
    <t>New Healthy Range</t>
  </si>
  <si>
    <t>Compliance</t>
  </si>
  <si>
    <t>Yes</t>
  </si>
  <si>
    <t>YES/NO</t>
  </si>
  <si>
    <t>Behaviour/Attitude</t>
  </si>
  <si>
    <t>System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</si>
</sst>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2"/>
      <color rgb="FFFF0000"/>
      <name val="Aptos"/>
      <family val="2"/>
    </font>
    <font>
      <sz val="12"/>
      <color theme="1"/>
      <name val="Aptos"/>
      <family val="2"/>
    </font>
    <font>
      <b/>
      <sz val="12"/>
      <name val="Aptos"/>
      <family val="2"/>
    </font>
    <font>
      <b/>
      <sz val="12"/>
      <color theme="1"/>
      <name val="Aptos"/>
      <family val="2"/>
    </font>
    <font>
      <b/>
      <sz val="12"/>
      <color rgb="FF006100"/>
      <name val="Aptos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33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4" borderId="1" xfId="3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9" fontId="5" fillId="0" borderId="0" xfId="1" applyFont="1" applyAlignment="1">
      <alignment horizontal="center" vertical="center"/>
    </xf>
    <xf numFmtId="9" fontId="6" fillId="5" borderId="1" xfId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9" fontId="6" fillId="9" borderId="1" xfId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9" fontId="7" fillId="5" borderId="1" xfId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9" fontId="7" fillId="9" borderId="1" xfId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7" fillId="10" borderId="1" xfId="0" applyFont="1" applyFill="1" applyBorder="1" applyAlignment="1">
      <alignment horizontal="center" vertical="center" wrapText="1"/>
    </xf>
    <xf numFmtId="0" fontId="8" fillId="2" borderId="0" xfId="2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7" fillId="5" borderId="0" xfId="1" applyFont="1" applyFill="1" applyAlignment="1">
      <alignment horizontal="center" vertical="center"/>
    </xf>
    <xf numFmtId="0" fontId="6" fillId="4" borderId="2" xfId="3" applyFont="1" applyFill="1" applyBorder="1" applyAlignment="1">
      <alignment horizontal="center" vertical="center" wrapText="1"/>
    </xf>
    <xf numFmtId="0" fontId="7" fillId="5" borderId="0" xfId="0" applyFont="1" applyFill="1" applyAlignment="1">
      <alignment vertical="center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arefa M Divan" id="{369D64F6-806C-43FE-AE6F-C9998E51ACDF}" userId="S::aarefa.divan@emirates.com::f6a40eaa-823f-4b84-89f1-9c975d3db01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8" dT="2025-06-09T10:56:43.42" personId="{369D64F6-806C-43FE-AE6F-C9998E51ACDF}" id="{9C380665-8AF2-4BC4-AD46-6C4B945AA691}">
    <text xml:space="preserve">May change it to ' Time to Recharge' </text>
  </threadedComment>
  <threadedComment ref="O21" dT="2025-06-09T10:56:43.42" personId="{369D64F6-806C-43FE-AE6F-C9998E51ACDF}" id="{ABD65A41-0B3D-4F97-BC30-350D9B9396C4}">
    <text xml:space="preserve">May change it to ' Time to Recharge'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DBDB-EF63-40BC-95C0-1359C0B0701A}">
  <dimension ref="A1:S31"/>
  <sheetViews>
    <sheetView tabSelected="1" workbookViewId="0">
      <selection activeCell="A3" sqref="A3:O31"/>
    </sheetView>
  </sheetViews>
  <sheetFormatPr defaultColWidth="9.1796875" defaultRowHeight="16" x14ac:dyDescent="0.35"/>
  <cols>
    <col min="1" max="1" width="22" style="2" bestFit="1" customWidth="1"/>
    <col min="2" max="2" width="14" style="2" customWidth="1"/>
    <col min="3" max="3" width="12.26953125" style="2" customWidth="1"/>
    <col min="4" max="4" width="19.7265625" style="2" customWidth="1"/>
    <col min="5" max="5" width="19.81640625" style="2" customWidth="1"/>
    <col min="6" max="6" width="40.7265625" style="2" customWidth="1"/>
    <col min="7" max="7" width="14.1796875" style="2" customWidth="1"/>
    <col min="8" max="8" width="10.1796875" style="2" bestFit="1" customWidth="1"/>
    <col min="9" max="9" width="20.7265625" style="2" customWidth="1"/>
    <col min="10" max="10" width="15.7265625" style="2" customWidth="1"/>
    <col min="11" max="11" width="5.7265625" style="2" customWidth="1"/>
    <col min="12" max="12" width="2.7265625" style="2" customWidth="1"/>
    <col min="13" max="14" width="11.7265625" style="2" customWidth="1"/>
    <col min="15" max="15" width="20.7265625" style="2" customWidth="1"/>
    <col min="16" max="16" width="2.7265625" style="2" customWidth="1"/>
    <col min="17" max="18" width="11.7265625" style="2" customWidth="1"/>
    <col min="19" max="19" width="17.453125" style="2" customWidth="1"/>
    <col min="20" max="20" width="9.1796875" style="2" customWidth="1"/>
    <col min="21" max="16384" width="9.1796875" style="2"/>
  </cols>
  <sheetData>
    <row r="1" spans="1:19" x14ac:dyDescent="0.35">
      <c r="A1" s="1"/>
    </row>
    <row r="3" spans="1:19" x14ac:dyDescent="0.35">
      <c r="F3" s="3" t="s">
        <v>0</v>
      </c>
      <c r="G3" s="4" t="s">
        <v>1</v>
      </c>
      <c r="H3" s="5" t="s">
        <v>1</v>
      </c>
      <c r="I3" s="5" t="s">
        <v>2</v>
      </c>
      <c r="J3" s="5" t="s">
        <v>3</v>
      </c>
    </row>
    <row r="4" spans="1:19" x14ac:dyDescent="0.35">
      <c r="A4" s="6" t="s">
        <v>4</v>
      </c>
      <c r="B4" s="6" t="s">
        <v>5</v>
      </c>
      <c r="C4" s="6" t="s">
        <v>6</v>
      </c>
      <c r="D4" s="7" t="s">
        <v>7</v>
      </c>
      <c r="E4" s="7" t="s">
        <v>8</v>
      </c>
      <c r="F4" s="8" t="s">
        <v>9</v>
      </c>
      <c r="G4" s="8"/>
      <c r="H4" s="5"/>
      <c r="I4" s="5"/>
      <c r="J4" s="5"/>
      <c r="M4" s="9" t="s">
        <v>10</v>
      </c>
      <c r="N4" s="9"/>
      <c r="O4" s="9"/>
      <c r="Q4" s="10" t="s">
        <v>11</v>
      </c>
      <c r="R4" s="10"/>
      <c r="S4" s="10"/>
    </row>
    <row r="5" spans="1:19" x14ac:dyDescent="0.35">
      <c r="A5" s="11">
        <f>D5</f>
        <v>6</v>
      </c>
      <c r="B5" s="11">
        <f t="shared" ref="B5:B10" si="0">IFERROR(C5*G5,"")</f>
        <v>6</v>
      </c>
      <c r="C5" s="11">
        <f>E5</f>
        <v>3</v>
      </c>
      <c r="D5" s="2">
        <v>6</v>
      </c>
      <c r="E5" s="2">
        <v>3</v>
      </c>
      <c r="F5" s="12" t="s">
        <v>12</v>
      </c>
      <c r="G5" s="12">
        <v>2</v>
      </c>
      <c r="H5" s="2" t="s">
        <v>13</v>
      </c>
      <c r="I5" s="13">
        <f>E5/$E$11</f>
        <v>0.15</v>
      </c>
      <c r="J5" s="13">
        <f>A5/$A$11</f>
        <v>0.15</v>
      </c>
      <c r="M5" s="14">
        <v>0.9</v>
      </c>
      <c r="N5" s="14">
        <v>1</v>
      </c>
      <c r="O5" s="15" t="s">
        <v>14</v>
      </c>
      <c r="Q5" s="16">
        <v>0.86</v>
      </c>
      <c r="R5" s="16">
        <v>1</v>
      </c>
      <c r="S5" s="17" t="s">
        <v>15</v>
      </c>
    </row>
    <row r="6" spans="1:19" x14ac:dyDescent="0.35">
      <c r="A6" s="11">
        <f>D6</f>
        <v>12</v>
      </c>
      <c r="B6" s="11">
        <f t="shared" si="0"/>
        <v>12</v>
      </c>
      <c r="C6" s="11">
        <f>E6</f>
        <v>6</v>
      </c>
      <c r="D6" s="2">
        <v>12</v>
      </c>
      <c r="E6" s="2">
        <v>6</v>
      </c>
      <c r="F6" s="12" t="s">
        <v>16</v>
      </c>
      <c r="G6" s="12">
        <v>2</v>
      </c>
      <c r="H6" s="2" t="s">
        <v>13</v>
      </c>
      <c r="I6" s="13">
        <f t="shared" ref="I6:I10" si="1">E6/$E$11</f>
        <v>0.3</v>
      </c>
      <c r="J6" s="13">
        <f t="shared" ref="J6:J10" si="2">A6/$A$11</f>
        <v>0.3</v>
      </c>
      <c r="M6" s="18">
        <v>0.75</v>
      </c>
      <c r="N6" s="18">
        <v>0.89</v>
      </c>
      <c r="O6" s="19" t="s">
        <v>17</v>
      </c>
      <c r="Q6" s="20">
        <v>0.66</v>
      </c>
      <c r="R6" s="20">
        <v>0.85</v>
      </c>
      <c r="S6" s="21" t="s">
        <v>18</v>
      </c>
    </row>
    <row r="7" spans="1:19" x14ac:dyDescent="0.35">
      <c r="A7" s="11">
        <f>IF(G7="N/A",0,D7)</f>
        <v>4</v>
      </c>
      <c r="B7" s="11">
        <f t="shared" si="0"/>
        <v>2</v>
      </c>
      <c r="C7" s="11">
        <f>IF(G7="N/A",0,E7)</f>
        <v>2</v>
      </c>
      <c r="D7" s="2">
        <v>4</v>
      </c>
      <c r="E7" s="2">
        <v>2</v>
      </c>
      <c r="F7" s="12" t="s">
        <v>19</v>
      </c>
      <c r="G7" s="12">
        <v>1</v>
      </c>
      <c r="H7" s="2" t="s">
        <v>20</v>
      </c>
      <c r="I7" s="13">
        <f t="shared" si="1"/>
        <v>0.1</v>
      </c>
      <c r="J7" s="13">
        <f t="shared" si="2"/>
        <v>0.1</v>
      </c>
      <c r="M7" s="18">
        <v>0.6</v>
      </c>
      <c r="N7" s="18">
        <v>0.74</v>
      </c>
      <c r="O7" s="19" t="s">
        <v>21</v>
      </c>
      <c r="Q7" s="20">
        <v>0.51</v>
      </c>
      <c r="R7" s="20">
        <v>0.65</v>
      </c>
      <c r="S7" s="21" t="s">
        <v>22</v>
      </c>
    </row>
    <row r="8" spans="1:19" x14ac:dyDescent="0.35">
      <c r="A8" s="11">
        <f>D8</f>
        <v>6</v>
      </c>
      <c r="B8" s="11">
        <f t="shared" si="0"/>
        <v>6</v>
      </c>
      <c r="C8" s="11">
        <f>E8</f>
        <v>3</v>
      </c>
      <c r="D8" s="2">
        <v>6</v>
      </c>
      <c r="E8" s="2">
        <v>3</v>
      </c>
      <c r="F8" s="22" t="s">
        <v>23</v>
      </c>
      <c r="G8" s="12">
        <v>2</v>
      </c>
      <c r="H8" s="2" t="s">
        <v>13</v>
      </c>
      <c r="I8" s="13">
        <f t="shared" si="1"/>
        <v>0.15</v>
      </c>
      <c r="J8" s="13">
        <f t="shared" si="2"/>
        <v>0.15</v>
      </c>
      <c r="M8" s="18">
        <v>0</v>
      </c>
      <c r="N8" s="18">
        <v>0.59</v>
      </c>
      <c r="O8" s="19" t="s">
        <v>24</v>
      </c>
      <c r="Q8" s="20">
        <v>0</v>
      </c>
      <c r="R8" s="20">
        <v>0.5</v>
      </c>
      <c r="S8" s="21" t="s">
        <v>24</v>
      </c>
    </row>
    <row r="9" spans="1:19" x14ac:dyDescent="0.35">
      <c r="A9" s="11">
        <f>D9</f>
        <v>6</v>
      </c>
      <c r="B9" s="11">
        <f t="shared" si="0"/>
        <v>6</v>
      </c>
      <c r="C9" s="11">
        <f>E9</f>
        <v>3</v>
      </c>
      <c r="D9" s="2">
        <v>6</v>
      </c>
      <c r="E9" s="2">
        <v>3</v>
      </c>
      <c r="F9" s="22" t="s">
        <v>25</v>
      </c>
      <c r="G9" s="12">
        <v>2</v>
      </c>
      <c r="H9" s="2" t="s">
        <v>13</v>
      </c>
      <c r="I9" s="13">
        <f t="shared" si="1"/>
        <v>0.15</v>
      </c>
      <c r="J9" s="13">
        <f t="shared" si="2"/>
        <v>0.15</v>
      </c>
    </row>
    <row r="10" spans="1:19" x14ac:dyDescent="0.35">
      <c r="A10" s="11">
        <f>D10</f>
        <v>6</v>
      </c>
      <c r="B10" s="11">
        <f t="shared" si="0"/>
        <v>6</v>
      </c>
      <c r="C10" s="11">
        <f>E10</f>
        <v>3</v>
      </c>
      <c r="D10" s="2">
        <v>6</v>
      </c>
      <c r="E10" s="2">
        <v>3</v>
      </c>
      <c r="F10" s="12" t="s">
        <v>26</v>
      </c>
      <c r="G10" s="12">
        <v>2</v>
      </c>
      <c r="H10" s="2" t="s">
        <v>13</v>
      </c>
      <c r="I10" s="13">
        <f t="shared" si="1"/>
        <v>0.15</v>
      </c>
      <c r="J10" s="13">
        <f t="shared" si="2"/>
        <v>0.15</v>
      </c>
    </row>
    <row r="11" spans="1:19" x14ac:dyDescent="0.35">
      <c r="A11" s="6">
        <f>SUM(A5:A10)</f>
        <v>40</v>
      </c>
      <c r="B11" s="6">
        <f>SUM(B5:B10)</f>
        <v>38</v>
      </c>
      <c r="C11" s="6">
        <f>SUM(C5:C10)</f>
        <v>20</v>
      </c>
      <c r="D11" s="7">
        <f>SUM(D5:D10)</f>
        <v>40</v>
      </c>
      <c r="E11" s="7">
        <f>SUM(E5:E10)</f>
        <v>20</v>
      </c>
      <c r="F11" s="7"/>
      <c r="G11" s="7"/>
      <c r="M11" s="23"/>
    </row>
    <row r="12" spans="1:19" x14ac:dyDescent="0.35">
      <c r="A12" s="11"/>
      <c r="B12" s="11"/>
      <c r="C12" s="11"/>
      <c r="F12" s="7"/>
      <c r="G12" s="7"/>
    </row>
    <row r="13" spans="1:19" x14ac:dyDescent="0.35">
      <c r="A13" s="11"/>
      <c r="B13" s="11"/>
      <c r="C13" s="11"/>
      <c r="F13" s="3" t="s">
        <v>27</v>
      </c>
      <c r="G13" s="4" t="s">
        <v>1</v>
      </c>
    </row>
    <row r="14" spans="1:19" x14ac:dyDescent="0.35">
      <c r="A14" s="11"/>
      <c r="B14" s="11"/>
      <c r="C14" s="11"/>
      <c r="F14" s="8" t="s">
        <v>9</v>
      </c>
      <c r="G14" s="8"/>
    </row>
    <row r="15" spans="1:19" x14ac:dyDescent="0.35">
      <c r="A15" s="11">
        <f>D15</f>
        <v>10</v>
      </c>
      <c r="B15" s="11">
        <f>IFERROR(C15*G15,"")</f>
        <v>5</v>
      </c>
      <c r="C15" s="11">
        <f>E15</f>
        <v>5</v>
      </c>
      <c r="D15" s="2">
        <v>10</v>
      </c>
      <c r="E15" s="2">
        <v>5</v>
      </c>
      <c r="F15" s="12" t="s">
        <v>28</v>
      </c>
      <c r="G15" s="12">
        <v>1</v>
      </c>
      <c r="H15" s="2" t="s">
        <v>13</v>
      </c>
      <c r="I15" s="13">
        <f>E15/$E$19</f>
        <v>0.33333333333333331</v>
      </c>
      <c r="J15" s="13">
        <f>A15/$A$19</f>
        <v>1</v>
      </c>
    </row>
    <row r="16" spans="1:19" x14ac:dyDescent="0.35">
      <c r="A16" s="11">
        <f>IF(G16="N/A",0,D16)</f>
        <v>0</v>
      </c>
      <c r="B16" s="11" t="str">
        <f>IFERROR(C16*G16,"")</f>
        <v/>
      </c>
      <c r="C16" s="11">
        <f>IF(G16="N/A",0,E16)</f>
        <v>0</v>
      </c>
      <c r="D16" s="2">
        <v>8</v>
      </c>
      <c r="E16" s="2">
        <v>4</v>
      </c>
      <c r="F16" s="24" t="s">
        <v>29</v>
      </c>
      <c r="G16" s="12" t="s">
        <v>30</v>
      </c>
      <c r="H16" s="2" t="s">
        <v>20</v>
      </c>
      <c r="I16" s="13">
        <f t="shared" ref="I16:I18" si="3">E16/$E$19</f>
        <v>0.26666666666666666</v>
      </c>
      <c r="J16" s="13">
        <f t="shared" ref="J16:J18" si="4">A16/$A$19</f>
        <v>0</v>
      </c>
      <c r="M16" s="9" t="s">
        <v>10</v>
      </c>
      <c r="N16" s="9"/>
      <c r="O16" s="9"/>
    </row>
    <row r="17" spans="1:15" x14ac:dyDescent="0.35">
      <c r="A17" s="11">
        <f>IF(G17="N/A",0,D17)</f>
        <v>0</v>
      </c>
      <c r="B17" s="11" t="str">
        <f>IFERROR(C17*G17,"")</f>
        <v/>
      </c>
      <c r="C17" s="11">
        <f>IF(G17="N/A",0,E17)</f>
        <v>0</v>
      </c>
      <c r="D17" s="2">
        <v>4</v>
      </c>
      <c r="E17" s="2">
        <v>2</v>
      </c>
      <c r="F17" s="12" t="s">
        <v>31</v>
      </c>
      <c r="G17" s="12" t="s">
        <v>30</v>
      </c>
      <c r="H17" s="2" t="s">
        <v>20</v>
      </c>
      <c r="I17" s="13">
        <f t="shared" si="3"/>
        <v>0.13333333333333333</v>
      </c>
      <c r="J17" s="13">
        <f t="shared" si="4"/>
        <v>0</v>
      </c>
      <c r="M17" s="2" t="s">
        <v>32</v>
      </c>
      <c r="N17" s="2" t="s">
        <v>33</v>
      </c>
      <c r="O17" s="2" t="s">
        <v>34</v>
      </c>
    </row>
    <row r="18" spans="1:15" x14ac:dyDescent="0.35">
      <c r="A18" s="11">
        <f>IF(G18="N/A",0,D18)</f>
        <v>0</v>
      </c>
      <c r="B18" s="11" t="str">
        <f>IFERROR(C18*G18,"")</f>
        <v/>
      </c>
      <c r="C18" s="11">
        <f>IF(G18="N/A",0,E18)</f>
        <v>0</v>
      </c>
      <c r="D18" s="2">
        <v>8</v>
      </c>
      <c r="E18" s="2">
        <v>4</v>
      </c>
      <c r="F18" s="22" t="s">
        <v>35</v>
      </c>
      <c r="G18" s="12" t="s">
        <v>30</v>
      </c>
      <c r="H18" s="2" t="s">
        <v>20</v>
      </c>
      <c r="I18" s="13">
        <f t="shared" si="3"/>
        <v>0.26666666666666666</v>
      </c>
      <c r="J18" s="13">
        <f t="shared" si="4"/>
        <v>0</v>
      </c>
      <c r="M18" s="14">
        <v>0.9</v>
      </c>
      <c r="N18" s="14">
        <v>1</v>
      </c>
      <c r="O18" s="15" t="s">
        <v>14</v>
      </c>
    </row>
    <row r="19" spans="1:15" x14ac:dyDescent="0.35">
      <c r="A19" s="6">
        <f>SUM(A15:A18)</f>
        <v>10</v>
      </c>
      <c r="B19" s="6">
        <f>SUM(B15:B18)</f>
        <v>5</v>
      </c>
      <c r="C19" s="6">
        <f>SUM(C15:C18)</f>
        <v>5</v>
      </c>
      <c r="D19" s="25">
        <f>SUM(D15:D18)</f>
        <v>30</v>
      </c>
      <c r="E19" s="25">
        <f>SUM(E15:E18)</f>
        <v>15</v>
      </c>
      <c r="F19" s="26"/>
      <c r="M19" s="18">
        <v>0.75</v>
      </c>
      <c r="N19" s="18">
        <v>0.89</v>
      </c>
      <c r="O19" s="19" t="s">
        <v>17</v>
      </c>
    </row>
    <row r="20" spans="1:15" x14ac:dyDescent="0.35">
      <c r="A20" s="11"/>
      <c r="B20" s="11"/>
      <c r="C20" s="11"/>
      <c r="M20" s="18">
        <v>0.6</v>
      </c>
      <c r="N20" s="18">
        <v>0.74</v>
      </c>
      <c r="O20" s="19" t="s">
        <v>21</v>
      </c>
    </row>
    <row r="21" spans="1:15" ht="32" x14ac:dyDescent="0.35">
      <c r="A21" s="11"/>
      <c r="B21" s="11"/>
      <c r="C21" s="11"/>
      <c r="F21" s="3" t="s">
        <v>36</v>
      </c>
      <c r="G21" s="4" t="s">
        <v>1</v>
      </c>
      <c r="M21" s="18">
        <v>0</v>
      </c>
      <c r="N21" s="18">
        <v>0.59</v>
      </c>
      <c r="O21" s="19" t="s">
        <v>24</v>
      </c>
    </row>
    <row r="22" spans="1:15" x14ac:dyDescent="0.35">
      <c r="A22" s="11"/>
      <c r="B22" s="11"/>
      <c r="C22" s="11"/>
      <c r="F22" s="8" t="s">
        <v>9</v>
      </c>
      <c r="G22" s="8"/>
    </row>
    <row r="23" spans="1:15" x14ac:dyDescent="0.35">
      <c r="A23" s="11">
        <f>IF(G23="N/A",0,D23)</f>
        <v>0</v>
      </c>
      <c r="B23" s="11" t="str">
        <f>IFERROR(C23*G23,"")</f>
        <v/>
      </c>
      <c r="C23" s="11">
        <f>IF(G23="N/A",0,E23)</f>
        <v>0</v>
      </c>
      <c r="D23" s="2">
        <v>14</v>
      </c>
      <c r="E23" s="2">
        <v>7</v>
      </c>
      <c r="F23" s="27" t="s">
        <v>37</v>
      </c>
      <c r="G23" s="28" t="s">
        <v>30</v>
      </c>
      <c r="H23" s="2" t="s">
        <v>20</v>
      </c>
      <c r="I23" s="13">
        <f>E23/$E$25</f>
        <v>0.46666666666666667</v>
      </c>
      <c r="J23" s="13" t="e">
        <f>A23/$A$25</f>
        <v>#DIV/0!</v>
      </c>
    </row>
    <row r="24" spans="1:15" x14ac:dyDescent="0.35">
      <c r="A24" s="11">
        <f>IF(G24="N/A",0,D24)</f>
        <v>0</v>
      </c>
      <c r="B24" s="11" t="str">
        <f>IFERROR(C24*G24,"")</f>
        <v/>
      </c>
      <c r="C24" s="11">
        <f>IF(G24="N/A",0,E24)</f>
        <v>0</v>
      </c>
      <c r="D24" s="2">
        <v>16</v>
      </c>
      <c r="E24" s="2">
        <v>8</v>
      </c>
      <c r="F24" s="22" t="s">
        <v>38</v>
      </c>
      <c r="G24" s="28" t="s">
        <v>30</v>
      </c>
      <c r="H24" s="2" t="s">
        <v>20</v>
      </c>
      <c r="I24" s="13">
        <f>E24/$E$25</f>
        <v>0.53333333333333333</v>
      </c>
      <c r="J24" s="13" t="e">
        <f>A24/$A$25</f>
        <v>#DIV/0!</v>
      </c>
    </row>
    <row r="25" spans="1:15" x14ac:dyDescent="0.35">
      <c r="A25" s="6">
        <f>SUM(A23:A24)</f>
        <v>0</v>
      </c>
      <c r="B25" s="6">
        <f>SUM(B23:B24)</f>
        <v>0</v>
      </c>
      <c r="C25" s="6">
        <f>SUM(C23:C24)</f>
        <v>0</v>
      </c>
      <c r="D25" s="25">
        <f>SUM(D23:D24)</f>
        <v>30</v>
      </c>
      <c r="E25" s="25">
        <f>SUM(E23:E24)</f>
        <v>15</v>
      </c>
      <c r="F25" s="26"/>
      <c r="G25" s="29"/>
    </row>
    <row r="26" spans="1:15" x14ac:dyDescent="0.35">
      <c r="A26" s="6">
        <f>A25+A19+A11</f>
        <v>50</v>
      </c>
      <c r="B26" s="6">
        <f>IF(IFERROR(VLOOKUP("No",G29:G31,1,0),"")="No",0,SUM(B25,B19,B11))</f>
        <v>43</v>
      </c>
      <c r="C26" s="6"/>
      <c r="E26" s="7"/>
    </row>
    <row r="27" spans="1:15" x14ac:dyDescent="0.35">
      <c r="A27" s="6" t="s">
        <v>39</v>
      </c>
      <c r="B27" s="30">
        <f>B26/A26</f>
        <v>0.86</v>
      </c>
      <c r="C27" s="11"/>
      <c r="F27" s="31" t="s">
        <v>40</v>
      </c>
      <c r="G27" s="4" t="s">
        <v>1</v>
      </c>
    </row>
    <row r="28" spans="1:15" x14ac:dyDescent="0.35">
      <c r="A28" s="6" t="s">
        <v>41</v>
      </c>
      <c r="B28" s="6" t="str">
        <f>IF(B27&gt;=Q5,"Great Job",IF(B27&gt;=Q6,"On Track",IF(B27&gt;=Q7,"More Efforts",IF(B27&lt;=R8,"Critical",""))))</f>
        <v>Great Job</v>
      </c>
      <c r="C28" s="11"/>
      <c r="F28" s="8" t="s">
        <v>9</v>
      </c>
      <c r="G28" s="8"/>
    </row>
    <row r="29" spans="1:15" x14ac:dyDescent="0.35">
      <c r="A29" s="32" t="s">
        <v>42</v>
      </c>
      <c r="B29" s="6" t="str">
        <f>IF(B27&gt;=M5,O5,IF(B27&gt;=M6,O6,IF(B27&gt;=M7,O7,IF(B27&lt;=N8,O8,""))))</f>
        <v>Healthy</v>
      </c>
      <c r="C29" s="11"/>
      <c r="F29" s="12" t="s">
        <v>43</v>
      </c>
      <c r="G29" s="12" t="s">
        <v>44</v>
      </c>
      <c r="H29" s="2" t="s">
        <v>45</v>
      </c>
    </row>
    <row r="30" spans="1:15" x14ac:dyDescent="0.35">
      <c r="F30" s="12" t="s">
        <v>46</v>
      </c>
      <c r="G30" s="12" t="s">
        <v>44</v>
      </c>
      <c r="H30" s="2" t="s">
        <v>45</v>
      </c>
    </row>
    <row r="31" spans="1:15" x14ac:dyDescent="0.35">
      <c r="F31" s="12" t="s">
        <v>47</v>
      </c>
      <c r="G31" s="12" t="s">
        <v>44</v>
      </c>
      <c r="H31" s="2" t="s">
        <v>45</v>
      </c>
    </row>
  </sheetData>
  <mergeCells count="6">
    <mergeCell ref="H3:H4"/>
    <mergeCell ref="I3:I4"/>
    <mergeCell ref="J3:J4"/>
    <mergeCell ref="M4:O4"/>
    <mergeCell ref="Q4:S4"/>
    <mergeCell ref="M16:O16"/>
  </mergeCells>
  <conditionalFormatting sqref="D11">
    <cfRule type="cellIs" dxfId="5" priority="5" stopIfTrue="1" operator="equal">
      <formula>$A$11</formula>
    </cfRule>
  </conditionalFormatting>
  <conditionalFormatting sqref="D19">
    <cfRule type="cellIs" dxfId="4" priority="1" stopIfTrue="1" operator="equal">
      <formula>$A$11</formula>
    </cfRule>
  </conditionalFormatting>
  <conditionalFormatting sqref="D25">
    <cfRule type="cellIs" dxfId="3" priority="3" stopIfTrue="1" operator="equal">
      <formula>$A$25</formula>
    </cfRule>
  </conditionalFormatting>
  <conditionalFormatting sqref="E11">
    <cfRule type="cellIs" dxfId="2" priority="6" stopIfTrue="1" operator="equal">
      <formula>$C$11</formula>
    </cfRule>
  </conditionalFormatting>
  <conditionalFormatting sqref="E19">
    <cfRule type="cellIs" dxfId="1" priority="2" stopIfTrue="1" operator="equal">
      <formula>$C$11</formula>
    </cfRule>
  </conditionalFormatting>
  <conditionalFormatting sqref="E25">
    <cfRule type="cellIs" dxfId="0" priority="4" stopIfTrue="1" operator="equal">
      <formula>$C$25</formula>
    </cfRule>
  </conditionalFormatting>
  <dataValidations count="3">
    <dataValidation type="list" allowBlank="1" showInputMessage="1" showErrorMessage="1" sqref="G7 G23:G24 G16:G18" xr:uid="{72BB02AA-9604-41AC-82B4-E7B91BC9206B}">
      <formula1>"N/A,0,1,2"</formula1>
    </dataValidation>
    <dataValidation type="list" allowBlank="1" showInputMessage="1" showErrorMessage="1" sqref="G5:G6 G8:G10 G15" xr:uid="{437214F2-0A59-4852-A08F-0ED5B7E693DE}">
      <formula1>"0,1,2"</formula1>
    </dataValidation>
    <dataValidation type="list" allowBlank="1" showInputMessage="1" showErrorMessage="1" sqref="G29:G31" xr:uid="{BBA098F8-CD34-4882-9D78-BB8DC8953ECB}">
      <formula1>"Yes,No"</formula1>
    </dataValidation>
  </dataValidations>
  <pageMargins left="0.7" right="0.7" top="0.75" bottom="0.75" header="0.3" footer="0.3"/>
  <pageSetup paperSize="9" orientation="portrait" r:id="rId1"/>
  <headerFooter>
    <oddFooter>&amp;L_x000D_&amp;1#&amp;"Aptos"&amp;6&amp;K737373 BUSINESS DOCUMENT  This document is intended for business use and should be distributed to intended recipients only.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ratings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Morgan</dc:creator>
  <cp:lastModifiedBy>Ahmed Morgan</cp:lastModifiedBy>
  <dcterms:created xsi:type="dcterms:W3CDTF">2026-09-18T11:12:35Z</dcterms:created>
  <dcterms:modified xsi:type="dcterms:W3CDTF">2026-09-18T11:13:31Z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2026-09-18T11:13:23Z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b5e2599f-aab9-4fd1-b5f8-8c049aa0ae16</vt:lpwstr>
  </property>
  <property fmtid="{D5CDD505-2E9C-101B-9397-08002B2CF9AE}" pid="8" name="MSIP_Label_c7962db2-8021-4672-ab50-833f15a1c47a_ContentBits">
    <vt:lpwstr>2</vt:lpwstr>
  </property>
  <property fmtid="{D5CDD505-2E9C-101B-9397-08002B2CF9AE}" pid="9" name="MSIP_Label_c7962db2-8021-4672-ab50-833f15a1c47a_Tag">
    <vt:lpwstr>10, 3, 0, 1</vt:lpwstr>
  </property>
</Properties>
</file>